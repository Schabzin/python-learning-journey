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ASTER" sheetId="1" state="hidden" r:id="rId1"/>
    <sheet xmlns:r="http://schemas.openxmlformats.org/officeDocument/2006/relationships" name="QUO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color rgb="00C85A00"/>
      <sz val="9"/>
    </font>
    <font>
      <name val="Arial"/>
      <b val="1"/>
      <color rgb="00FFFFFF"/>
      <sz val="9"/>
    </font>
    <font>
      <name val="Arial"/>
      <b val="1"/>
      <color rgb="00C85A00"/>
      <sz val="9"/>
    </font>
    <font>
      <name val="Arial"/>
      <color rgb="001A1A1A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85A0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5" fillId="4" borderId="1" pivotButton="0" quotePrefix="0" xfId="0"/>
    <xf numFmtId="0" fontId="6" fillId="5" borderId="1" applyProtection="1" pivotButton="0" quotePrefix="0" xfId="0">
      <protection locked="0" hidden="0"/>
    </xf>
    <xf numFmtId="0" fontId="4" fillId="2" borderId="1" applyAlignment="1" pivotButton="0" quotePrefix="0" xfId="0">
      <alignment horizontal="center"/>
    </xf>
    <xf numFmtId="1" fontId="6" fillId="6" borderId="1" applyAlignment="1" applyProtection="1" pivotButton="0" quotePrefix="0" xfId="0">
      <alignment horizontal="center"/>
      <protection locked="0" hidden="0"/>
    </xf>
    <xf numFmtId="0" fontId="6" fillId="5" borderId="1" pivotButton="0" quotePrefix="0" xfId="0"/>
    <xf numFmtId="164" fontId="6" fillId="5" borderId="1" pivotButton="0" quotePrefix="0" xfId="0"/>
    <xf numFmtId="0" fontId="6" fillId="6" borderId="1" applyAlignment="1" applyProtection="1" pivotButton="0" quotePrefix="0" xfId="0">
      <alignment horizontal="center"/>
      <protection locked="0" hidden="0"/>
    </xf>
    <xf numFmtId="0" fontId="6" fillId="4" borderId="1" pivotButton="0" quotePrefix="0" xfId="0"/>
    <xf numFmtId="164" fontId="6" fillId="4" borderId="1" pivotButton="0" quotePrefix="0" xfId="0"/>
    <xf numFmtId="0" fontId="7" fillId="2" borderId="1" applyAlignment="1" pivotButton="0" quotePrefix="0" xfId="0">
      <alignment horizontal="right" vertical="center"/>
    </xf>
    <xf numFmtId="164" fontId="7" fillId="3" borderId="1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LANGUAGE</t>
        </is>
      </c>
      <c r="F1" s="1" t="inlineStr">
        <is>
          <t>PRICE</t>
        </is>
      </c>
      <c r="G1" s="1" t="inlineStr">
        <is>
          <t>PUBLISHER</t>
        </is>
      </c>
    </row>
    <row r="2">
      <c r="A2" t="n">
        <v>9781920192228</v>
      </c>
      <c r="B2" t="inlineStr">
        <is>
          <t>Understanding Life Sciences Grade 10 – Learner’s Book  (3rd edition - CAPS)</t>
        </is>
      </c>
      <c r="C2" t="inlineStr"/>
      <c r="D2" t="inlineStr"/>
      <c r="E2" t="inlineStr"/>
      <c r="F2" t="n">
        <v>0</v>
      </c>
      <c r="G2" t="inlineStr">
        <is>
          <t>Pulse</t>
        </is>
      </c>
    </row>
    <row r="3">
      <c r="A3" t="n">
        <v>9781920192235</v>
      </c>
      <c r="B3" t="inlineStr">
        <is>
          <t>Understanding Life Sciences Grade 10 – Teacher’s Guide (3rd edition - CAPS)</t>
        </is>
      </c>
      <c r="C3" t="inlineStr"/>
      <c r="D3" t="inlineStr"/>
      <c r="E3" t="inlineStr"/>
      <c r="F3" t="n">
        <v>0</v>
      </c>
      <c r="G3" t="inlineStr">
        <is>
          <t>Pulse</t>
        </is>
      </c>
    </row>
    <row r="4">
      <c r="A4" t="n">
        <v>9781920192266</v>
      </c>
      <c r="B4" t="inlineStr">
        <is>
          <t>Understanding Life Sciences Grade 11 – Learner’s Book    (3rd edition - CAPS)</t>
        </is>
      </c>
      <c r="C4" t="inlineStr"/>
      <c r="D4" t="inlineStr"/>
      <c r="E4" t="inlineStr"/>
      <c r="F4" t="n">
        <v>0</v>
      </c>
      <c r="G4" t="inlineStr">
        <is>
          <t>Pulse</t>
        </is>
      </c>
    </row>
    <row r="5">
      <c r="A5" t="n">
        <v>9781920192273</v>
      </c>
      <c r="B5" t="inlineStr">
        <is>
          <t>Understanding Life Sciences Grade 11 – Teacher’s Guide (3rd edition - CAPS)</t>
        </is>
      </c>
      <c r="C5" t="inlineStr"/>
      <c r="D5" t="inlineStr"/>
      <c r="E5" t="inlineStr"/>
      <c r="F5" t="n">
        <v>0</v>
      </c>
      <c r="G5" t="inlineStr">
        <is>
          <t>Pulse</t>
        </is>
      </c>
    </row>
    <row r="6">
      <c r="A6" t="n">
        <v>9781920192280</v>
      </c>
      <c r="B6" t="inlineStr">
        <is>
          <t>Understanding Life Sciences Grade 12 – Learner’s Book (3rd edition - CAPS)</t>
        </is>
      </c>
      <c r="C6" t="inlineStr"/>
      <c r="D6" t="inlineStr"/>
      <c r="E6" t="inlineStr"/>
      <c r="F6" t="n">
        <v>0</v>
      </c>
      <c r="G6" t="inlineStr">
        <is>
          <t>Pulse</t>
        </is>
      </c>
    </row>
    <row r="7">
      <c r="A7" t="n">
        <v>9781920192297</v>
      </c>
      <c r="B7" t="inlineStr">
        <is>
          <t>Understanding Life Sciences Grade 12 – Teacher’s Guide (3rd edition - CAPS)</t>
        </is>
      </c>
      <c r="C7" t="inlineStr"/>
      <c r="D7" t="inlineStr"/>
      <c r="E7" t="inlineStr"/>
      <c r="F7" t="n">
        <v>0</v>
      </c>
      <c r="G7" t="inlineStr">
        <is>
          <t>Pulse</t>
        </is>
      </c>
    </row>
    <row r="8">
      <c r="A8" t="n">
        <v>9781920192242</v>
      </c>
      <c r="B8" t="inlineStr">
        <is>
          <t>Study   Guide   for   Understanding   Life   Sciences   including   Questions   and Answers - Grade 10 CAPS (3rd edition)</t>
        </is>
      </c>
      <c r="C8" t="inlineStr"/>
      <c r="D8" t="inlineStr"/>
      <c r="E8" t="inlineStr"/>
      <c r="F8" t="n">
        <v>0</v>
      </c>
      <c r="G8" t="inlineStr">
        <is>
          <t>Pulse</t>
        </is>
      </c>
    </row>
    <row r="9">
      <c r="A9" t="n">
        <v>9781920192327</v>
      </c>
      <c r="B9" t="inlineStr">
        <is>
          <t>Study Guide for Understanding Life Sciences - Grade 11 CAPS (3rd edition)</t>
        </is>
      </c>
      <c r="C9" t="inlineStr"/>
      <c r="D9" t="inlineStr"/>
      <c r="E9" t="inlineStr"/>
      <c r="F9" t="n">
        <v>0</v>
      </c>
      <c r="G9" t="inlineStr">
        <is>
          <t>Pulse</t>
        </is>
      </c>
    </row>
    <row r="10">
      <c r="A10" t="n">
        <v>9781920192303</v>
      </c>
      <c r="B10" t="inlineStr">
        <is>
          <t>Study   Guide   for   Understanding   Life   Sciences   including   Questions   and Answers - Grade 12 CAPS (3rd edition)</t>
        </is>
      </c>
      <c r="C10" t="inlineStr"/>
      <c r="D10" t="inlineStr"/>
      <c r="E10" t="inlineStr"/>
      <c r="F10" t="n">
        <v>0</v>
      </c>
      <c r="G10" t="inlineStr">
        <is>
          <t>Pulse</t>
        </is>
      </c>
    </row>
    <row r="11">
      <c r="A11" t="n">
        <v>9781920192310</v>
      </c>
      <c r="B11" t="inlineStr">
        <is>
          <t>Studiegids vir Verstaan Lewenswetenskappe insluitende Vrae &amp; Antwoorde
- Graad 12</t>
        </is>
      </c>
      <c r="C11" t="inlineStr"/>
      <c r="D11" t="inlineStr"/>
      <c r="E11" t="inlineStr"/>
      <c r="F11" t="n">
        <v>0</v>
      </c>
      <c r="G11" t="inlineStr">
        <is>
          <t>Pulse</t>
        </is>
      </c>
    </row>
    <row r="12">
      <c r="A12" t="n">
        <v>9781920192259</v>
      </c>
      <c r="B12" t="inlineStr">
        <is>
          <t>Workbook for Understanding Life Sciences - Grade 12 CAPS</t>
        </is>
      </c>
      <c r="C12" t="inlineStr"/>
      <c r="D12" t="inlineStr"/>
      <c r="E12" t="inlineStr"/>
      <c r="F12" t="n">
        <v>0</v>
      </c>
      <c r="G12" t="inlineStr">
        <is>
          <t>Pulse</t>
        </is>
      </c>
    </row>
    <row r="13">
      <c r="A13" t="n">
        <v>9781920192990</v>
      </c>
      <c r="B13" t="inlineStr">
        <is>
          <t>Werkboek vir Verstaan Lewenswetenskappe - Graad 12 CAPS</t>
        </is>
      </c>
      <c r="C13" t="inlineStr"/>
      <c r="D13" t="inlineStr"/>
      <c r="E13" t="inlineStr"/>
      <c r="F13" t="n">
        <v>0</v>
      </c>
      <c r="G13" t="inlineStr">
        <is>
          <t>Pulse</t>
        </is>
      </c>
    </row>
    <row r="14">
      <c r="A14" t="n">
        <v>9780190402549</v>
      </c>
      <c r="B14" t="inlineStr">
        <is>
          <t>Oxford Kereiti ya R Buka ya puiso 1: Nna</t>
        </is>
      </c>
      <c r="C14" t="inlineStr">
        <is>
          <t>R</t>
        </is>
      </c>
      <c r="D14" t="inlineStr">
        <is>
          <t>Language</t>
        </is>
      </c>
      <c r="E14" t="inlineStr">
        <is>
          <t>Setswana</t>
        </is>
      </c>
      <c r="F14" t="n">
        <v>32.95</v>
      </c>
      <c r="G14" t="inlineStr">
        <is>
          <t>OXFORD</t>
        </is>
      </c>
    </row>
    <row r="15">
      <c r="A15" t="n">
        <v>9780190408527</v>
      </c>
      <c r="B15" t="inlineStr">
        <is>
          <t>Oxford Kereiti ya R Buka ya puiso 2: Kwa sekolong</t>
        </is>
      </c>
      <c r="C15" t="inlineStr">
        <is>
          <t>R</t>
        </is>
      </c>
      <c r="D15" t="inlineStr">
        <is>
          <t>Language</t>
        </is>
      </c>
      <c r="E15" t="inlineStr">
        <is>
          <t>Setswana</t>
        </is>
      </c>
      <c r="F15" t="n">
        <v>32.95</v>
      </c>
      <c r="G15" t="inlineStr">
        <is>
          <t>OXFORD</t>
        </is>
      </c>
    </row>
    <row r="16">
      <c r="A16" t="n">
        <v>9780190407179</v>
      </c>
      <c r="B16" t="inlineStr">
        <is>
          <t>Oxford Kereiti ya R Buka ya puiso 3: Phaposiborutelo</t>
        </is>
      </c>
      <c r="C16" t="inlineStr">
        <is>
          <t>R</t>
        </is>
      </c>
      <c r="D16" t="inlineStr">
        <is>
          <t>Language</t>
        </is>
      </c>
      <c r="E16" t="inlineStr">
        <is>
          <t>Setswana</t>
        </is>
      </c>
      <c r="F16" t="n">
        <v>32.95</v>
      </c>
      <c r="G16" t="inlineStr">
        <is>
          <t>OXFORD</t>
        </is>
      </c>
    </row>
    <row r="17">
      <c r="A17" t="n">
        <v>9780190403447</v>
      </c>
      <c r="B17" t="inlineStr">
        <is>
          <t>Oxford Kereiti ya R Buka ya puiso 4: Dibuka</t>
        </is>
      </c>
      <c r="C17" t="inlineStr">
        <is>
          <t>R</t>
        </is>
      </c>
      <c r="D17" t="inlineStr">
        <is>
          <t>Language</t>
        </is>
      </c>
      <c r="E17" t="inlineStr">
        <is>
          <t>Setswana</t>
        </is>
      </c>
      <c r="F17" t="n">
        <v>32.95</v>
      </c>
      <c r="G17" t="inlineStr">
        <is>
          <t>OXFORD</t>
        </is>
      </c>
    </row>
    <row r="18">
      <c r="A18" t="n">
        <v>9780199046935</v>
      </c>
      <c r="B18" t="inlineStr">
        <is>
          <t>Oxford Kereiti ya R Buka ya puiso 5: Malatsi a beke</t>
        </is>
      </c>
      <c r="C18" t="inlineStr">
        <is>
          <t>R</t>
        </is>
      </c>
      <c r="D18" t="inlineStr">
        <is>
          <t>Language</t>
        </is>
      </c>
      <c r="E18" t="inlineStr">
        <is>
          <t>Setswana</t>
        </is>
      </c>
      <c r="F18" t="n">
        <v>32.95</v>
      </c>
      <c r="G18" t="inlineStr">
        <is>
          <t>OXFORD</t>
        </is>
      </c>
    </row>
    <row r="19">
      <c r="A19" t="n">
        <v>9780190403850</v>
      </c>
      <c r="B19" t="inlineStr">
        <is>
          <t>Oxford Kereiti ya R Buka ya puiso 6: Mmele wa me</t>
        </is>
      </c>
      <c r="C19" t="inlineStr">
        <is>
          <t>R</t>
        </is>
      </c>
      <c r="D19" t="inlineStr">
        <is>
          <t>Language</t>
        </is>
      </c>
      <c r="E19" t="inlineStr">
        <is>
          <t>Setswana</t>
        </is>
      </c>
      <c r="F19" t="n">
        <v>32.95</v>
      </c>
      <c r="G19" t="inlineStr">
        <is>
          <t>OXFORD</t>
        </is>
      </c>
    </row>
    <row r="20">
      <c r="A20" t="n">
        <v>9780190402471</v>
      </c>
      <c r="B20" t="inlineStr">
        <is>
          <t>Oxford Kereiti ya R Buka ya puiso 7: Botshelo jo bo itekanetseng</t>
        </is>
      </c>
      <c r="C20" t="inlineStr">
        <is>
          <t>R</t>
        </is>
      </c>
      <c r="D20" t="inlineStr">
        <is>
          <t>Language</t>
        </is>
      </c>
      <c r="E20" t="inlineStr">
        <is>
          <t>Setswana</t>
        </is>
      </c>
      <c r="F20" t="n">
        <v>32.95</v>
      </c>
      <c r="G20" t="inlineStr">
        <is>
          <t>OXFORD</t>
        </is>
      </c>
    </row>
    <row r="21">
      <c r="A21" t="n">
        <v>9780190403928</v>
      </c>
      <c r="B21" t="inlineStr">
        <is>
          <t>Oxford Kereiti ya R Buka ya puiso 8: Selemo</t>
        </is>
      </c>
      <c r="C21" t="inlineStr">
        <is>
          <t>R</t>
        </is>
      </c>
      <c r="D21" t="inlineStr">
        <is>
          <t>Language</t>
        </is>
      </c>
      <c r="E21" t="inlineStr">
        <is>
          <t>Setswana</t>
        </is>
      </c>
      <c r="F21" t="n">
        <v>32.95</v>
      </c>
      <c r="G21" t="inlineStr">
        <is>
          <t>OXFORD</t>
        </is>
      </c>
    </row>
    <row r="22">
      <c r="A22" t="n">
        <v>9780199075133</v>
      </c>
      <c r="B22" t="inlineStr">
        <is>
          <t>Oxford Kereiti ya R Buka ya puiso 9: Dipopego le mebala</t>
        </is>
      </c>
      <c r="C22" t="inlineStr">
        <is>
          <t>R</t>
        </is>
      </c>
      <c r="D22" t="inlineStr">
        <is>
          <t>Language</t>
        </is>
      </c>
      <c r="E22" t="inlineStr">
        <is>
          <t>Setswana</t>
        </is>
      </c>
      <c r="F22" t="n">
        <v>32.95</v>
      </c>
      <c r="G22" t="inlineStr">
        <is>
          <t>OXFORD</t>
        </is>
      </c>
    </row>
    <row r="23">
      <c r="A23" t="n">
        <v>9780190408480</v>
      </c>
      <c r="B23" t="inlineStr">
        <is>
          <t>Oxford Kereiti ya R Buka ya puiso 10: Leeto le le monate</t>
        </is>
      </c>
      <c r="C23" t="inlineStr">
        <is>
          <t>R</t>
        </is>
      </c>
      <c r="D23" t="inlineStr">
        <is>
          <t>Language</t>
        </is>
      </c>
      <c r="E23" t="inlineStr">
        <is>
          <t>Setswana</t>
        </is>
      </c>
      <c r="F23" t="n">
        <v>32.95</v>
      </c>
      <c r="G23" t="inlineStr">
        <is>
          <t>OXFORD</t>
        </is>
      </c>
    </row>
    <row r="24">
      <c r="A24" t="n">
        <v>9780190405182</v>
      </c>
      <c r="B24" t="inlineStr">
        <is>
          <t>Oxford Kereiti ya R Buka ya puiso 11: Legae</t>
        </is>
      </c>
      <c r="C24" t="inlineStr">
        <is>
          <t>R</t>
        </is>
      </c>
      <c r="D24" t="inlineStr">
        <is>
          <t>Language</t>
        </is>
      </c>
      <c r="E24" t="inlineStr">
        <is>
          <t>Setswana</t>
        </is>
      </c>
      <c r="F24" t="n">
        <v>32.95</v>
      </c>
      <c r="G24" t="inlineStr">
        <is>
          <t>OXFORD</t>
        </is>
      </c>
    </row>
    <row r="25">
      <c r="A25" t="n">
        <v>9780190400996</v>
      </c>
      <c r="B25" t="inlineStr">
        <is>
          <t>Oxford Kereiti ya R Buka ya puiso 12: Tshireletsego</t>
        </is>
      </c>
      <c r="C25" t="inlineStr">
        <is>
          <t>R</t>
        </is>
      </c>
      <c r="D25" t="inlineStr">
        <is>
          <t>Language</t>
        </is>
      </c>
      <c r="E25" t="inlineStr">
        <is>
          <t>Setswana</t>
        </is>
      </c>
      <c r="F25" t="n">
        <v>32.95</v>
      </c>
      <c r="G25" t="inlineStr">
        <is>
          <t>OXFORD</t>
        </is>
      </c>
    </row>
    <row r="26">
      <c r="A26" t="n">
        <v>9780190404956</v>
      </c>
      <c r="B26" t="inlineStr">
        <is>
          <t>Oxford Kereiti ya R Buka ya puiso 13: Balelapa la me</t>
        </is>
      </c>
      <c r="C26" t="inlineStr">
        <is>
          <t>R</t>
        </is>
      </c>
      <c r="D26" t="inlineStr">
        <is>
          <t>Language</t>
        </is>
      </c>
      <c r="E26" t="inlineStr">
        <is>
          <t>Setswana</t>
        </is>
      </c>
      <c r="F26" t="n">
        <v>32.95</v>
      </c>
      <c r="G26" t="inlineStr">
        <is>
          <t>OXFORD</t>
        </is>
      </c>
    </row>
    <row r="27">
      <c r="A27" t="n">
        <v>9780199076161</v>
      </c>
      <c r="B27" t="inlineStr">
        <is>
          <t>Oxford Kereiti ya R Buka ya puiso 14: Maemo a bosa</t>
        </is>
      </c>
      <c r="C27" t="inlineStr">
        <is>
          <t>R</t>
        </is>
      </c>
      <c r="D27" t="inlineStr">
        <is>
          <t>Language</t>
        </is>
      </c>
      <c r="E27" t="inlineStr">
        <is>
          <t>Setswana</t>
        </is>
      </c>
      <c r="F27" t="n">
        <v>32.95</v>
      </c>
      <c r="G27" t="inlineStr">
        <is>
          <t>OXFORD</t>
        </is>
      </c>
    </row>
    <row r="28">
      <c r="A28" t="n">
        <v>9780190406998</v>
      </c>
      <c r="B28" t="inlineStr">
        <is>
          <t>Oxford Kereiti ya R Buka ya puiso 15: Letlhafula</t>
        </is>
      </c>
      <c r="C28" t="inlineStr">
        <is>
          <t>R</t>
        </is>
      </c>
      <c r="D28" t="inlineStr">
        <is>
          <t>Language</t>
        </is>
      </c>
      <c r="E28" t="inlineStr">
        <is>
          <t>Setswana</t>
        </is>
      </c>
      <c r="F28" t="n">
        <v>32.95</v>
      </c>
      <c r="G28" t="inlineStr">
        <is>
          <t>OXFORD</t>
        </is>
      </c>
    </row>
    <row r="29">
      <c r="A29" t="n">
        <v>9780199076512</v>
      </c>
      <c r="B29" t="inlineStr">
        <is>
          <t>Oxford Kereiti ya R Buka ya puiso 16: O utlwa eng?</t>
        </is>
      </c>
      <c r="C29" t="inlineStr">
        <is>
          <t>R</t>
        </is>
      </c>
      <c r="D29" t="inlineStr">
        <is>
          <t>Language</t>
        </is>
      </c>
      <c r="E29" t="inlineStr">
        <is>
          <t>Setswana</t>
        </is>
      </c>
      <c r="F29" t="n">
        <v>32.95</v>
      </c>
      <c r="G29" t="inlineStr">
        <is>
          <t>OXFORD</t>
        </is>
      </c>
    </row>
    <row r="30">
      <c r="A30" t="n">
        <v>9780190407780</v>
      </c>
      <c r="B30" t="inlineStr">
        <is>
          <t>Oxford Kereiti ya R Buka ya puiso 17: Pono e botlhokwa</t>
        </is>
      </c>
      <c r="C30" t="inlineStr">
        <is>
          <t>R</t>
        </is>
      </c>
      <c r="D30" t="inlineStr">
        <is>
          <t>Language</t>
        </is>
      </c>
      <c r="E30" t="inlineStr">
        <is>
          <t>Setswana</t>
        </is>
      </c>
      <c r="F30" t="n">
        <v>32.95</v>
      </c>
      <c r="G30" t="inlineStr">
        <is>
          <t>OXFORD</t>
        </is>
      </c>
    </row>
    <row r="31">
      <c r="A31" t="n">
        <v>9780190404376</v>
      </c>
      <c r="B31" t="inlineStr">
        <is>
          <t>Oxford Kereiti ya R Buka ya puiso 18: Re a tshwaratshwara</t>
        </is>
      </c>
      <c r="C31" t="inlineStr">
        <is>
          <t>R</t>
        </is>
      </c>
      <c r="D31" t="inlineStr">
        <is>
          <t>Language</t>
        </is>
      </c>
      <c r="E31" t="inlineStr">
        <is>
          <t>Setswana</t>
        </is>
      </c>
      <c r="F31" t="n">
        <v>32.95</v>
      </c>
      <c r="G31" t="inlineStr">
        <is>
          <t>OXFORD</t>
        </is>
      </c>
    </row>
    <row r="32">
      <c r="A32" t="n">
        <v>9780190408664</v>
      </c>
      <c r="B32" t="inlineStr">
        <is>
          <t>Oxford Kereiti ya R Buka ya puiso 19: Tatso le monko</t>
        </is>
      </c>
      <c r="C32" t="inlineStr">
        <is>
          <t>R</t>
        </is>
      </c>
      <c r="D32" t="inlineStr">
        <is>
          <t>Language</t>
        </is>
      </c>
      <c r="E32" t="inlineStr">
        <is>
          <t>Setswana</t>
        </is>
      </c>
      <c r="F32" t="n">
        <v>32.95</v>
      </c>
      <c r="G32" t="inlineStr">
        <is>
          <t>OXFORD</t>
        </is>
      </c>
    </row>
    <row r="33">
      <c r="A33" t="n">
        <v>9780190402716</v>
      </c>
      <c r="B33" t="inlineStr">
        <is>
          <t>Oxford Kereiti ya R Buka ya puiso 20: Letsatsi la ga rre Mandela</t>
        </is>
      </c>
      <c r="C33" t="inlineStr">
        <is>
          <t>R</t>
        </is>
      </c>
      <c r="D33" t="inlineStr">
        <is>
          <t>Language</t>
        </is>
      </c>
      <c r="E33" t="inlineStr">
        <is>
          <t>Setswana</t>
        </is>
      </c>
      <c r="F33" t="n">
        <v>32.95</v>
      </c>
      <c r="G33" t="inlineStr">
        <is>
          <t>OXFORD</t>
        </is>
      </c>
    </row>
    <row r="34">
      <c r="A34" t="n">
        <v>9780199055371</v>
      </c>
      <c r="B34" t="inlineStr">
        <is>
          <t>Oxford Kereiti ya R Buka ya puiso 21: Mariga</t>
        </is>
      </c>
      <c r="C34" t="inlineStr">
        <is>
          <t>R</t>
        </is>
      </c>
      <c r="D34" t="inlineStr">
        <is>
          <t>Language</t>
        </is>
      </c>
      <c r="E34" t="inlineStr">
        <is>
          <t>Setswana</t>
        </is>
      </c>
      <c r="F34" t="n">
        <v>32.95</v>
      </c>
      <c r="G34" t="inlineStr">
        <is>
          <t>OXFORD</t>
        </is>
      </c>
    </row>
    <row r="35">
      <c r="A35" t="n">
        <v>9780190409128</v>
      </c>
      <c r="B35" t="inlineStr">
        <is>
          <t>Oxford Kereiti ya R Buka ya puiso 22: Dipalangwa</t>
        </is>
      </c>
      <c r="C35" t="inlineStr">
        <is>
          <t>R</t>
        </is>
      </c>
      <c r="D35" t="inlineStr">
        <is>
          <t>Language</t>
        </is>
      </c>
      <c r="E35" t="inlineStr">
        <is>
          <t>Setswana</t>
        </is>
      </c>
      <c r="F35" t="n">
        <v>32.95</v>
      </c>
      <c r="G35" t="inlineStr">
        <is>
          <t>OXFORD</t>
        </is>
      </c>
    </row>
    <row r="36">
      <c r="A36" t="n">
        <v>9780190405038</v>
      </c>
      <c r="B36" t="inlineStr">
        <is>
          <t>Oxford Kereiti ya R Buka ya puiso 23: Ditiro tse di farologaneng</t>
        </is>
      </c>
      <c r="C36" t="inlineStr">
        <is>
          <t>R</t>
        </is>
      </c>
      <c r="D36" t="inlineStr">
        <is>
          <t>Language</t>
        </is>
      </c>
      <c r="E36" t="inlineStr">
        <is>
          <t>Setswana</t>
        </is>
      </c>
      <c r="F36" t="n">
        <v>32.95</v>
      </c>
      <c r="G36" t="inlineStr">
        <is>
          <t>OXFORD</t>
        </is>
      </c>
    </row>
    <row r="37">
      <c r="A37" t="n">
        <v>9780190402068</v>
      </c>
      <c r="B37" t="inlineStr">
        <is>
          <t>Oxford Kereiti ya R Buka ya puiso 24: Metsi</t>
        </is>
      </c>
      <c r="C37" t="inlineStr">
        <is>
          <t>R</t>
        </is>
      </c>
      <c r="D37" t="inlineStr">
        <is>
          <t>Language</t>
        </is>
      </c>
      <c r="E37" t="inlineStr">
        <is>
          <t>Setswana</t>
        </is>
      </c>
      <c r="F37" t="n">
        <v>32.95</v>
      </c>
      <c r="G37" t="inlineStr">
        <is>
          <t>OXFORD</t>
        </is>
      </c>
    </row>
    <row r="38">
      <c r="A38" t="n">
        <v>9780199075799</v>
      </c>
      <c r="B38" t="inlineStr">
        <is>
          <t>Oxford Kereiti ya R Buka ya puiso 25: Maungo</t>
        </is>
      </c>
      <c r="C38" t="inlineStr">
        <is>
          <t>R</t>
        </is>
      </c>
      <c r="D38" t="inlineStr">
        <is>
          <t>Language</t>
        </is>
      </c>
      <c r="E38" t="inlineStr">
        <is>
          <t>Setswana</t>
        </is>
      </c>
      <c r="F38" t="n">
        <v>32.95</v>
      </c>
      <c r="G38" t="inlineStr">
        <is>
          <t>OXFORD</t>
        </is>
      </c>
    </row>
    <row r="39">
      <c r="A39" t="n">
        <v>9780190401566</v>
      </c>
      <c r="B39" t="inlineStr">
        <is>
          <t>Oxford Kereiti ya R Buka ya puiso 26: Merogo</t>
        </is>
      </c>
      <c r="C39" t="inlineStr">
        <is>
          <t>R</t>
        </is>
      </c>
      <c r="D39" t="inlineStr">
        <is>
          <t>Language</t>
        </is>
      </c>
      <c r="E39" t="inlineStr">
        <is>
          <t>Setswana</t>
        </is>
      </c>
      <c r="F39" t="n">
        <v>32.95</v>
      </c>
      <c r="G39" t="inlineStr">
        <is>
          <t>OXFORD</t>
        </is>
      </c>
    </row>
    <row r="40">
      <c r="A40" t="n">
        <v>9780190400149</v>
      </c>
      <c r="B40" t="inlineStr">
        <is>
          <t>Oxford Kereiti ya R Buka ya puiso 27: Temo ya teri</t>
        </is>
      </c>
      <c r="C40" t="inlineStr">
        <is>
          <t>R</t>
        </is>
      </c>
      <c r="D40" t="inlineStr">
        <is>
          <t>Language</t>
        </is>
      </c>
      <c r="E40" t="inlineStr">
        <is>
          <t>Setswana</t>
        </is>
      </c>
      <c r="F40" t="n">
        <v>32.95</v>
      </c>
      <c r="G40" t="inlineStr">
        <is>
          <t>OXFORD</t>
        </is>
      </c>
    </row>
    <row r="41">
      <c r="A41" t="n">
        <v>9780199077120</v>
      </c>
      <c r="B41" t="inlineStr">
        <is>
          <t>Oxford Kereiti ya R Buka ya puiso 28: Tlhagiso ya wulu</t>
        </is>
      </c>
      <c r="C41" t="inlineStr">
        <is>
          <t>R</t>
        </is>
      </c>
      <c r="D41" t="inlineStr">
        <is>
          <t>Language</t>
        </is>
      </c>
      <c r="E41" t="inlineStr">
        <is>
          <t>Setswana</t>
        </is>
      </c>
      <c r="F41" t="n">
        <v>32.95</v>
      </c>
      <c r="G41" t="inlineStr">
        <is>
          <t>OXFORD</t>
        </is>
      </c>
    </row>
    <row r="42">
      <c r="A42" t="n">
        <v>9780199042210</v>
      </c>
      <c r="B42" t="inlineStr">
        <is>
          <t>Oxford Kereiti ya R Buka ya puiso 29: Tikologo e e itekanetseng</t>
        </is>
      </c>
      <c r="C42" t="inlineStr">
        <is>
          <t>R</t>
        </is>
      </c>
      <c r="D42" t="inlineStr">
        <is>
          <t>Language</t>
        </is>
      </c>
      <c r="E42" t="inlineStr">
        <is>
          <t>Setswana</t>
        </is>
      </c>
      <c r="F42" t="n">
        <v>32.95</v>
      </c>
      <c r="G42" t="inlineStr">
        <is>
          <t>OXFORD</t>
        </is>
      </c>
    </row>
    <row r="43">
      <c r="A43" t="n">
        <v>9780190401672</v>
      </c>
      <c r="B43" t="inlineStr">
        <is>
          <t>Oxford Kereiti ya R Buka ya puiso 30: Setso sa rona</t>
        </is>
      </c>
      <c r="C43" t="inlineStr">
        <is>
          <t>R</t>
        </is>
      </c>
      <c r="D43" t="inlineStr">
        <is>
          <t>Language</t>
        </is>
      </c>
      <c r="E43" t="inlineStr">
        <is>
          <t>Setswana</t>
        </is>
      </c>
      <c r="F43" t="n">
        <v>32.95</v>
      </c>
      <c r="G43" t="inlineStr">
        <is>
          <t>OXFORD</t>
        </is>
      </c>
    </row>
    <row r="44">
      <c r="A44" t="n">
        <v>9780190402105</v>
      </c>
      <c r="B44" t="inlineStr">
        <is>
          <t>Oxford Kereiti ya R Buka ya puiso 31: Dikgakologo</t>
        </is>
      </c>
      <c r="C44" t="inlineStr">
        <is>
          <t>R</t>
        </is>
      </c>
      <c r="D44" t="inlineStr">
        <is>
          <t>Language</t>
        </is>
      </c>
      <c r="E44" t="inlineStr">
        <is>
          <t>Setswana</t>
        </is>
      </c>
      <c r="F44" t="n">
        <v>32.95</v>
      </c>
      <c r="G44" t="inlineStr">
        <is>
          <t>OXFORD</t>
        </is>
      </c>
    </row>
    <row r="45">
      <c r="A45" t="n">
        <v>9780190400781</v>
      </c>
      <c r="B45" t="inlineStr">
        <is>
          <t>Oxford Kereiti ya R Buka ya puiso 32: Dinonyane</t>
        </is>
      </c>
      <c r="C45" t="inlineStr">
        <is>
          <t>R</t>
        </is>
      </c>
      <c r="D45" t="inlineStr">
        <is>
          <t>Language</t>
        </is>
      </c>
      <c r="E45" t="inlineStr">
        <is>
          <t>Setswana</t>
        </is>
      </c>
      <c r="F45" t="n">
        <v>32.95</v>
      </c>
      <c r="G45" t="inlineStr">
        <is>
          <t>OXFORD</t>
        </is>
      </c>
    </row>
    <row r="46">
      <c r="A46" t="n">
        <v>9780190405717</v>
      </c>
      <c r="B46" t="inlineStr">
        <is>
          <t>Oxford Kereiti ya R Buka ya puiso 33: Digagabi</t>
        </is>
      </c>
      <c r="C46" t="inlineStr">
        <is>
          <t>R</t>
        </is>
      </c>
      <c r="D46" t="inlineStr">
        <is>
          <t>Language</t>
        </is>
      </c>
      <c r="E46" t="inlineStr">
        <is>
          <t>Setswana</t>
        </is>
      </c>
      <c r="F46" t="n">
        <v>32.95</v>
      </c>
      <c r="G46" t="inlineStr">
        <is>
          <t>OXFORD</t>
        </is>
      </c>
    </row>
    <row r="47">
      <c r="A47" t="n">
        <v>9780199075430</v>
      </c>
      <c r="B47" t="inlineStr">
        <is>
          <t>Oxford Kereiti ya R Buka ya puiso 34: Dikgogodumodumo</t>
        </is>
      </c>
      <c r="C47" t="inlineStr">
        <is>
          <t>R</t>
        </is>
      </c>
      <c r="D47" t="inlineStr">
        <is>
          <t>Language</t>
        </is>
      </c>
      <c r="E47" t="inlineStr">
        <is>
          <t>Setswana</t>
        </is>
      </c>
      <c r="F47" t="n">
        <v>32.95</v>
      </c>
      <c r="G47" t="inlineStr">
        <is>
          <t>OXFORD</t>
        </is>
      </c>
    </row>
    <row r="48">
      <c r="A48" t="n">
        <v>9780190400484</v>
      </c>
      <c r="B48" t="inlineStr">
        <is>
          <t>Oxford Kereiti ya R Buka ya puiso 35: Diphologolo tse di tlhaga</t>
        </is>
      </c>
      <c r="C48" t="inlineStr">
        <is>
          <t>R</t>
        </is>
      </c>
      <c r="D48" t="inlineStr">
        <is>
          <t>Language</t>
        </is>
      </c>
      <c r="E48" t="inlineStr">
        <is>
          <t>Setswana</t>
        </is>
      </c>
      <c r="F48" t="n">
        <v>32.95</v>
      </c>
      <c r="G48" t="inlineStr">
        <is>
          <t>OXFORD</t>
        </is>
      </c>
    </row>
    <row r="49">
      <c r="A49" t="n">
        <v>9780199042715</v>
      </c>
      <c r="B49" t="inlineStr">
        <is>
          <t>Oxford Kereiti ya R Buka ya puiso 36: Re ithuta ka thutlwa</t>
        </is>
      </c>
      <c r="C49" t="inlineStr">
        <is>
          <t>R</t>
        </is>
      </c>
      <c r="D49" t="inlineStr">
        <is>
          <t>Language</t>
        </is>
      </c>
      <c r="E49" t="inlineStr">
        <is>
          <t>Setswana</t>
        </is>
      </c>
      <c r="F49" t="n">
        <v>32.95</v>
      </c>
      <c r="G49" t="inlineStr">
        <is>
          <t>OXFORD</t>
        </is>
      </c>
    </row>
    <row r="50">
      <c r="A50" t="n">
        <v>9780199078455</v>
      </c>
      <c r="B50" t="inlineStr">
        <is>
          <t>Oxford Kereiti ya R Buka ya puiso 37: Metshameko</t>
        </is>
      </c>
      <c r="C50" t="inlineStr">
        <is>
          <t>R</t>
        </is>
      </c>
      <c r="D50" t="inlineStr">
        <is>
          <t>Language</t>
        </is>
      </c>
      <c r="E50" t="inlineStr">
        <is>
          <t>Setswana</t>
        </is>
      </c>
      <c r="F50" t="n">
        <v>32.95</v>
      </c>
      <c r="G50" t="inlineStr">
        <is>
          <t>OXFORD</t>
        </is>
      </c>
    </row>
    <row r="51">
      <c r="A51" t="n">
        <v>9780199075706</v>
      </c>
      <c r="B51" t="inlineStr">
        <is>
          <t>Oxford Kereiti ya R Buka ya puiso 38: Meletlo le malatsi a a kgethegileng</t>
        </is>
      </c>
      <c r="C51" t="inlineStr">
        <is>
          <t>R</t>
        </is>
      </c>
      <c r="D51" t="inlineStr">
        <is>
          <t>Language</t>
        </is>
      </c>
      <c r="E51" t="inlineStr">
        <is>
          <t>Setswana</t>
        </is>
      </c>
      <c r="F51" t="n">
        <v>32.95</v>
      </c>
      <c r="G51" t="inlineStr">
        <is>
          <t>OXFORD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86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 ht="30" customHeight="1">
      <c r="A1" s="2" t="inlineStr">
        <is>
          <t>KALIKENG TRADING AND PROJECTS CC</t>
        </is>
      </c>
    </row>
    <row r="2">
      <c r="A2" s="3" t="inlineStr">
        <is>
          <t>Reg No: 2010/007041/23  |  VAT No: 4340257320  |  Tel: 073 223 9762  |  kalikengtrading@gmail.com</t>
        </is>
      </c>
    </row>
    <row r="3">
      <c r="A3" s="4" t="inlineStr">
        <is>
          <t>B-BBEE LEVEL 1  |  100% BLACK OWNED  |  135% PROCUREMENT RECOGNITION</t>
        </is>
      </c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6" customHeight="1"/>
    <row r="6" ht="18" customHeight="1">
      <c r="A6" s="6" t="inlineStr">
        <is>
          <t>QUOTATION NO:</t>
        </is>
      </c>
      <c r="B6" s="7" t="n"/>
      <c r="E6" s="6" t="inlineStr">
        <is>
          <t>DATE:</t>
        </is>
      </c>
      <c r="F6" s="7" t="n"/>
    </row>
    <row r="7" ht="18" customHeight="1">
      <c r="A7" s="6" t="inlineStr">
        <is>
          <t>SCHOOL / CLIENT:</t>
        </is>
      </c>
      <c r="B7" s="7" t="n"/>
      <c r="E7" s="6" t="inlineStr">
        <is>
          <t>PREPARED BY:</t>
        </is>
      </c>
      <c r="F7" s="7" t="n"/>
    </row>
    <row r="8" ht="18" customHeight="1">
      <c r="A8" s="6" t="inlineStr">
        <is>
          <t>ADDRESS:</t>
        </is>
      </c>
      <c r="B8" s="7" t="n"/>
      <c r="E8" s="6" t="inlineStr">
        <is>
          <t>PHONE:</t>
        </is>
      </c>
      <c r="F8" s="7" t="n"/>
    </row>
    <row r="9" ht="6" customHeight="1"/>
    <row r="10" ht="18" customHeight="1">
      <c r="A10" s="8" t="inlineStr">
        <is>
          <t>ISBN</t>
        </is>
      </c>
      <c r="B10" s="8" t="inlineStr">
        <is>
          <t>TITLE</t>
        </is>
      </c>
      <c r="C10" s="8" t="inlineStr">
        <is>
          <t>GR</t>
        </is>
      </c>
      <c r="D10" s="8" t="inlineStr">
        <is>
          <t>SUBJECT</t>
        </is>
      </c>
      <c r="E10" s="8" t="inlineStr">
        <is>
          <t>LANGUAGE</t>
        </is>
      </c>
      <c r="F10" s="8" t="inlineStr">
        <is>
          <t>PUBLISHER</t>
        </is>
      </c>
      <c r="G10" s="8" t="inlineStr">
        <is>
          <t>UNIT PRICE</t>
        </is>
      </c>
      <c r="H10" s="8" t="inlineStr">
        <is>
          <t>QTY</t>
        </is>
      </c>
      <c r="I10" s="8" t="inlineStr">
        <is>
          <t>LINE TOTAL</t>
        </is>
      </c>
    </row>
    <row r="11">
      <c r="A11" s="9" t="n"/>
      <c r="B11" s="10">
        <f>IFERROR(VLOOKUP(A11,MASTER!$A:$G,2,0),"")</f>
        <v/>
      </c>
      <c r="C11" s="10">
        <f>IFERROR(VLOOKUP(A11,MASTER!$A:$G,3,0),"")</f>
        <v/>
      </c>
      <c r="D11" s="10">
        <f>IFERROR(VLOOKUP(A11,MASTER!$A:$G,4,0),"")</f>
        <v/>
      </c>
      <c r="E11" s="10">
        <f>IFERROR(VLOOKUP(A11,MASTER!$A:$G,5,0),"")</f>
        <v/>
      </c>
      <c r="F11" s="10">
        <f>IFERROR(VLOOKUP(A11,MASTER!$A:$G,7,0),"")</f>
        <v/>
      </c>
      <c r="G11" s="11">
        <f>IFERROR(VLOOKUP(A11,MASTER!$A:$G,6,0),"")</f>
        <v/>
      </c>
      <c r="H11" s="12" t="n"/>
      <c r="I11" s="11">
        <f>IFERROR(IF(H11="","",G11*H11),"")</f>
        <v/>
      </c>
    </row>
    <row r="12">
      <c r="A12" s="9" t="n"/>
      <c r="B12" s="13">
        <f>IFERROR(VLOOKUP(A12,MASTER!$A:$G,2,0),"")</f>
        <v/>
      </c>
      <c r="C12" s="13">
        <f>IFERROR(VLOOKUP(A12,MASTER!$A:$G,3,0),"")</f>
        <v/>
      </c>
      <c r="D12" s="13">
        <f>IFERROR(VLOOKUP(A12,MASTER!$A:$G,4,0),"")</f>
        <v/>
      </c>
      <c r="E12" s="13">
        <f>IFERROR(VLOOKUP(A12,MASTER!$A:$G,5,0),"")</f>
        <v/>
      </c>
      <c r="F12" s="13">
        <f>IFERROR(VLOOKUP(A12,MASTER!$A:$G,7,0),"")</f>
        <v/>
      </c>
      <c r="G12" s="14">
        <f>IFERROR(VLOOKUP(A12,MASTER!$A:$G,6,0),"")</f>
        <v/>
      </c>
      <c r="H12" s="12" t="n"/>
      <c r="I12" s="14">
        <f>IFERROR(IF(H12="","",G12*H12),"")</f>
        <v/>
      </c>
    </row>
    <row r="13">
      <c r="A13" s="9" t="n"/>
      <c r="B13" s="10">
        <f>IFERROR(VLOOKUP(A13,MASTER!$A:$G,2,0),"")</f>
        <v/>
      </c>
      <c r="C13" s="10">
        <f>IFERROR(VLOOKUP(A13,MASTER!$A:$G,3,0),"")</f>
        <v/>
      </c>
      <c r="D13" s="10">
        <f>IFERROR(VLOOKUP(A13,MASTER!$A:$G,4,0),"")</f>
        <v/>
      </c>
      <c r="E13" s="10">
        <f>IFERROR(VLOOKUP(A13,MASTER!$A:$G,5,0),"")</f>
        <v/>
      </c>
      <c r="F13" s="10">
        <f>IFERROR(VLOOKUP(A13,MASTER!$A:$G,7,0),"")</f>
        <v/>
      </c>
      <c r="G13" s="11">
        <f>IFERROR(VLOOKUP(A13,MASTER!$A:$G,6,0),"")</f>
        <v/>
      </c>
      <c r="H13" s="12" t="n"/>
      <c r="I13" s="11">
        <f>IFERROR(IF(H13="","",G13*H13),"")</f>
        <v/>
      </c>
    </row>
    <row r="14">
      <c r="A14" s="9" t="n"/>
      <c r="B14" s="13">
        <f>IFERROR(VLOOKUP(A14,MASTER!$A:$G,2,0),"")</f>
        <v/>
      </c>
      <c r="C14" s="13">
        <f>IFERROR(VLOOKUP(A14,MASTER!$A:$G,3,0),"")</f>
        <v/>
      </c>
      <c r="D14" s="13">
        <f>IFERROR(VLOOKUP(A14,MASTER!$A:$G,4,0),"")</f>
        <v/>
      </c>
      <c r="E14" s="13">
        <f>IFERROR(VLOOKUP(A14,MASTER!$A:$G,5,0),"")</f>
        <v/>
      </c>
      <c r="F14" s="13">
        <f>IFERROR(VLOOKUP(A14,MASTER!$A:$G,7,0),"")</f>
        <v/>
      </c>
      <c r="G14" s="14">
        <f>IFERROR(VLOOKUP(A14,MASTER!$A:$G,6,0),"")</f>
        <v/>
      </c>
      <c r="H14" s="12" t="n"/>
      <c r="I14" s="14">
        <f>IFERROR(IF(H14="","",G14*H14),"")</f>
        <v/>
      </c>
    </row>
    <row r="15">
      <c r="A15" s="9" t="n"/>
      <c r="B15" s="10">
        <f>IFERROR(VLOOKUP(A15,MASTER!$A:$G,2,0),"")</f>
        <v/>
      </c>
      <c r="C15" s="10">
        <f>IFERROR(VLOOKUP(A15,MASTER!$A:$G,3,0),"")</f>
        <v/>
      </c>
      <c r="D15" s="10">
        <f>IFERROR(VLOOKUP(A15,MASTER!$A:$G,4,0),"")</f>
        <v/>
      </c>
      <c r="E15" s="10">
        <f>IFERROR(VLOOKUP(A15,MASTER!$A:$G,5,0),"")</f>
        <v/>
      </c>
      <c r="F15" s="10">
        <f>IFERROR(VLOOKUP(A15,MASTER!$A:$G,7,0),"")</f>
        <v/>
      </c>
      <c r="G15" s="11">
        <f>IFERROR(VLOOKUP(A15,MASTER!$A:$G,6,0),"")</f>
        <v/>
      </c>
      <c r="H15" s="12" t="n"/>
      <c r="I15" s="11">
        <f>IFERROR(IF(H15="","",G15*H15),"")</f>
        <v/>
      </c>
    </row>
    <row r="16">
      <c r="A16" s="9" t="n"/>
      <c r="B16" s="13">
        <f>IFERROR(VLOOKUP(A16,MASTER!$A:$G,2,0),"")</f>
        <v/>
      </c>
      <c r="C16" s="13">
        <f>IFERROR(VLOOKUP(A16,MASTER!$A:$G,3,0),"")</f>
        <v/>
      </c>
      <c r="D16" s="13">
        <f>IFERROR(VLOOKUP(A16,MASTER!$A:$G,4,0),"")</f>
        <v/>
      </c>
      <c r="E16" s="13">
        <f>IFERROR(VLOOKUP(A16,MASTER!$A:$G,5,0),"")</f>
        <v/>
      </c>
      <c r="F16" s="13">
        <f>IFERROR(VLOOKUP(A16,MASTER!$A:$G,7,0),"")</f>
        <v/>
      </c>
      <c r="G16" s="14">
        <f>IFERROR(VLOOKUP(A16,MASTER!$A:$G,6,0),"")</f>
        <v/>
      </c>
      <c r="H16" s="12" t="n"/>
      <c r="I16" s="14">
        <f>IFERROR(IF(H16="","",G16*H16),"")</f>
        <v/>
      </c>
    </row>
    <row r="17">
      <c r="A17" s="9" t="n"/>
      <c r="B17" s="10">
        <f>IFERROR(VLOOKUP(A17,MASTER!$A:$G,2,0),"")</f>
        <v/>
      </c>
      <c r="C17" s="10">
        <f>IFERROR(VLOOKUP(A17,MASTER!$A:$G,3,0),"")</f>
        <v/>
      </c>
      <c r="D17" s="10">
        <f>IFERROR(VLOOKUP(A17,MASTER!$A:$G,4,0),"")</f>
        <v/>
      </c>
      <c r="E17" s="10">
        <f>IFERROR(VLOOKUP(A17,MASTER!$A:$G,5,0),"")</f>
        <v/>
      </c>
      <c r="F17" s="10">
        <f>IFERROR(VLOOKUP(A17,MASTER!$A:$G,7,0),"")</f>
        <v/>
      </c>
      <c r="G17" s="11">
        <f>IFERROR(VLOOKUP(A17,MASTER!$A:$G,6,0),"")</f>
        <v/>
      </c>
      <c r="H17" s="12" t="n"/>
      <c r="I17" s="11">
        <f>IFERROR(IF(H17="","",G17*H17),"")</f>
        <v/>
      </c>
    </row>
    <row r="18">
      <c r="A18" s="9" t="n"/>
      <c r="B18" s="13">
        <f>IFERROR(VLOOKUP(A18,MASTER!$A:$G,2,0),"")</f>
        <v/>
      </c>
      <c r="C18" s="13">
        <f>IFERROR(VLOOKUP(A18,MASTER!$A:$G,3,0),"")</f>
        <v/>
      </c>
      <c r="D18" s="13">
        <f>IFERROR(VLOOKUP(A18,MASTER!$A:$G,4,0),"")</f>
        <v/>
      </c>
      <c r="E18" s="13">
        <f>IFERROR(VLOOKUP(A18,MASTER!$A:$G,5,0),"")</f>
        <v/>
      </c>
      <c r="F18" s="13">
        <f>IFERROR(VLOOKUP(A18,MASTER!$A:$G,7,0),"")</f>
        <v/>
      </c>
      <c r="G18" s="14">
        <f>IFERROR(VLOOKUP(A18,MASTER!$A:$G,6,0),"")</f>
        <v/>
      </c>
      <c r="H18" s="12" t="n"/>
      <c r="I18" s="14">
        <f>IFERROR(IF(H18="","",G18*H18),"")</f>
        <v/>
      </c>
    </row>
    <row r="19">
      <c r="A19" s="9" t="n"/>
      <c r="B19" s="10">
        <f>IFERROR(VLOOKUP(A19,MASTER!$A:$G,2,0),"")</f>
        <v/>
      </c>
      <c r="C19" s="10">
        <f>IFERROR(VLOOKUP(A19,MASTER!$A:$G,3,0),"")</f>
        <v/>
      </c>
      <c r="D19" s="10">
        <f>IFERROR(VLOOKUP(A19,MASTER!$A:$G,4,0),"")</f>
        <v/>
      </c>
      <c r="E19" s="10">
        <f>IFERROR(VLOOKUP(A19,MASTER!$A:$G,5,0),"")</f>
        <v/>
      </c>
      <c r="F19" s="10">
        <f>IFERROR(VLOOKUP(A19,MASTER!$A:$G,7,0),"")</f>
        <v/>
      </c>
      <c r="G19" s="11">
        <f>IFERROR(VLOOKUP(A19,MASTER!$A:$G,6,0),"")</f>
        <v/>
      </c>
      <c r="H19" s="12" t="n"/>
      <c r="I19" s="11">
        <f>IFERROR(IF(H19="","",G19*H19),"")</f>
        <v/>
      </c>
    </row>
    <row r="20">
      <c r="A20" s="9" t="n"/>
      <c r="B20" s="13">
        <f>IFERROR(VLOOKUP(A20,MASTER!$A:$G,2,0),"")</f>
        <v/>
      </c>
      <c r="C20" s="13">
        <f>IFERROR(VLOOKUP(A20,MASTER!$A:$G,3,0),"")</f>
        <v/>
      </c>
      <c r="D20" s="13">
        <f>IFERROR(VLOOKUP(A20,MASTER!$A:$G,4,0),"")</f>
        <v/>
      </c>
      <c r="E20" s="13">
        <f>IFERROR(VLOOKUP(A20,MASTER!$A:$G,5,0),"")</f>
        <v/>
      </c>
      <c r="F20" s="13">
        <f>IFERROR(VLOOKUP(A20,MASTER!$A:$G,7,0),"")</f>
        <v/>
      </c>
      <c r="G20" s="14">
        <f>IFERROR(VLOOKUP(A20,MASTER!$A:$G,6,0),"")</f>
        <v/>
      </c>
      <c r="H20" s="12" t="n"/>
      <c r="I20" s="14">
        <f>IFERROR(IF(H20="","",G20*H20),"")</f>
        <v/>
      </c>
    </row>
    <row r="21" ht="22" customHeight="1">
      <c r="A21" s="15" t="inlineStr">
        <is>
          <t>GRAND TOTAL</t>
        </is>
      </c>
      <c r="I21" s="16">
        <f>IFERROR(SUM(I11:I20),0)</f>
        <v/>
      </c>
    </row>
    <row r="23">
      <c r="A23" s="17" t="inlineStr">
        <is>
          <t>DEMO VERSION — 10 lines only | Contact Sechaba: 073 223 9762 | Full version R1,500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AC1"/>
  <mergeCells count="5">
    <mergeCell ref="A3:H3"/>
    <mergeCell ref="A21:H21"/>
    <mergeCell ref="A2:H2"/>
    <mergeCell ref="A23:I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2026-05-03T12:56:57Z</dcterms:created>
  <dcterms:modified xmlns:dcterms="http://purl.org/dc/terms/" xmlns:xsi="http://www.w3.org/2001/XMLSchema-instance" xsi:type="dcterms:W3CDTF">2026-05-03T12:56:57Z</dcterms:modified>
</cp:coreProperties>
</file>